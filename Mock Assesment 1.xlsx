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59468ea4b320fbc/Desktop/"/>
    </mc:Choice>
  </mc:AlternateContent>
  <xr:revisionPtr revIDLastSave="0" documentId="8_{72730B50-2C5B-461E-A5D8-DC4225AD37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K9" i="1"/>
  <c r="I12" i="1"/>
  <c r="E13" i="1"/>
  <c r="L3" i="1"/>
  <c r="L4" i="1"/>
  <c r="L5" i="1"/>
  <c r="L2" i="1"/>
  <c r="K3" i="1"/>
  <c r="M3" i="1" s="1"/>
  <c r="K4" i="1"/>
  <c r="M4" i="1" s="1"/>
  <c r="K5" i="1"/>
  <c r="M5" i="1" s="1"/>
  <c r="K2" i="1"/>
  <c r="M2" i="1" s="1"/>
  <c r="I3" i="1"/>
  <c r="I4" i="1"/>
  <c r="I5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2" i="1"/>
  <c r="I2" i="1" s="1"/>
</calcChain>
</file>

<file path=xl/sharedStrings.xml><?xml version="1.0" encoding="utf-8"?>
<sst xmlns="http://schemas.openxmlformats.org/spreadsheetml/2006/main" count="87" uniqueCount="56">
  <si>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</si>
  <si>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</si>
  <si>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</si>
  <si>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</si>
  <si>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</si>
  <si>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</si>
  <si>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</si>
  <si>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</si>
  <si>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</si>
  <si>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</si>
  <si>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</si>
  <si>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</si>
  <si>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</si>
  <si>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</si>
  <si>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</si>
  <si>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</si>
  <si>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</si>
  <si>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</si>
  <si>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</si>
  <si>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</si>
  <si>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</si>
  <si>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</si>
  <si>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</si>
  <si>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</si>
  <si>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</si>
  <si>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</si>
  <si>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</si>
  <si>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</si>
  <si>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</si>
  <si>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</si>
  <si>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</si>
  <si>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</si>
  <si>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</si>
  <si>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</si>
  <si>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</si>
  <si>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</si>
  <si>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</si>
  <si>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</si>
  <si>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</si>
  <si>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</si>
  <si>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</si>
  <si>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</si>
  <si>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</si>
  <si>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</si>
  <si>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</si>
  <si>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</si>
  <si>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</si>
  <si>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Sales Value</t>
  </si>
  <si>
    <t>Price Per Unit</t>
  </si>
  <si>
    <t>Total_revenue</t>
  </si>
  <si>
    <t>Actual Sales By each Region</t>
  </si>
  <si>
    <t>Comparison</t>
  </si>
  <si>
    <t>Total Unit Sold</t>
  </si>
  <si>
    <t>Total P001 Units</t>
  </si>
  <si>
    <t>Regions</t>
  </si>
  <si>
    <t xml:space="preserve">P001 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</si>
</sst>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3" fillId="0" borderId="0" xfId="0" applyFont="1"/>
    <xf numFmtId="0" fontId="3" fillId="4" borderId="0" xfId="0" applyFont="1" applyFill="1"/>
    <xf numFmtId="0" fontId="3" fillId="4" borderId="1" xfId="0" applyFont="1" applyFill="1" applyBorder="1"/>
    <xf numFmtId="0" fontId="0" fillId="4" borderId="1" xfId="0" applyFill="1" applyBorder="1"/>
    <xf numFmtId="0" fontId="4" fillId="0" borderId="0" xfId="0" applyFont="1"/>
    <xf numFmtId="0" fontId="4" fillId="5" borderId="1" xfId="0" applyFont="1" applyFill="1" applyBorder="1"/>
    <xf numFmtId="0" fontId="3" fillId="7" borderId="0" xfId="0" applyFont="1" applyFill="1"/>
    <xf numFmtId="0" fontId="2" fillId="8" borderId="1" xfId="0" applyFont="1" applyFill="1" applyBorder="1"/>
    <xf numFmtId="0" fontId="3" fillId="9" borderId="0" xfId="0" applyFont="1" applyFill="1"/>
    <xf numFmtId="0" fontId="0" fillId="10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4" fillId="6" borderId="0" xfId="0" applyFont="1" applyFill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3"/>
  <sheetViews>
    <sheetView tabSelected="1" topLeftCell="C1" zoomScale="53" zoomScaleNormal="66" workbookViewId="0">
      <selection activeCell="H14" sqref="H14"/>
    </sheetView>
  </sheetViews>
  <sheetFormatPr defaultColWidth="12.59765625" defaultRowHeight="15.75" customHeight="1" x14ac:dyDescent="0.35"/>
  <cols>
    <col min="2" max="2" width="15.1328125" bestFit="1" customWidth="1"/>
    <col min="4" max="4" width="10.1328125" bestFit="1" customWidth="1"/>
    <col min="5" max="5" width="13.9296875" bestFit="1" customWidth="1"/>
    <col min="7" max="8" width="14.9296875" bestFit="1" customWidth="1"/>
    <col min="9" max="9" width="16.1328125" bestFit="1" customWidth="1"/>
    <col min="10" max="10" width="11.19921875" bestFit="1" customWidth="1"/>
    <col min="11" max="11" width="26.1328125" bestFit="1" customWidth="1"/>
    <col min="12" max="12" width="11.6640625" bestFit="1" customWidth="1"/>
    <col min="13" max="14" width="14.1328125" bestFit="1" customWidth="1"/>
    <col min="15" max="15" width="14.265625" bestFit="1" customWidth="1"/>
  </cols>
  <sheetData>
    <row r="1" spans="1:14" ht="15.75" customHeight="1" x14ac:dyDescent="0.4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3" t="s">
        <v>48</v>
      </c>
      <c r="H1" s="5" t="s">
        <v>35</v>
      </c>
      <c r="I1" s="9" t="s">
        <v>47</v>
      </c>
      <c r="J1" s="19" t="s">
        <v>54</v>
      </c>
      <c r="K1" s="13" t="s">
        <v>50</v>
      </c>
      <c r="L1" s="15" t="s">
        <v>46</v>
      </c>
      <c r="M1" s="8" t="s">
        <v>51</v>
      </c>
      <c r="N1" s="11" t="s">
        <v>55</v>
      </c>
    </row>
    <row r="2" spans="1:14" ht="12.75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  <c r="G2" s="4">
        <f>F2/E2</f>
        <v>3000</v>
      </c>
      <c r="H2" s="6" t="str">
        <f>VLOOKUP($D2,Product_Master!$A$1:$D$6,2,FALSE)</f>
        <v>Laptop</v>
      </c>
      <c r="I2" s="10">
        <f>E2*G2</f>
        <v>45000</v>
      </c>
      <c r="J2" s="14" t="s">
        <v>8</v>
      </c>
      <c r="K2" s="16">
        <f>SUMIF(C$2:C$11,$J2,F$2:F$11)</f>
        <v>163000</v>
      </c>
      <c r="L2" s="17">
        <f>HLOOKUP(J2,'Monthly Target'!A$1:E$2,2,FALSE)</f>
        <v>150000</v>
      </c>
      <c r="M2" s="18" t="str">
        <f>IF(K2&gt;L2,"Target Achieved","Below Target")</f>
        <v>Target Achieved</v>
      </c>
      <c r="N2" s="11">
        <v>121.33333333333331</v>
      </c>
    </row>
    <row r="3" spans="1:14" ht="12.7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G3" s="4">
        <f t="shared" ref="G3:G11" si="0">F3/E3</f>
        <v>3000</v>
      </c>
      <c r="H3" s="6" t="str">
        <f>VLOOKUP($D3,Product_Master!$A$1:$D$6,2,FALSE)</f>
        <v>Smartphone</v>
      </c>
      <c r="I3" s="10">
        <f t="shared" ref="I3:I11" si="1">E3*G3</f>
        <v>60000</v>
      </c>
      <c r="J3" s="14" t="s">
        <v>12</v>
      </c>
      <c r="K3" s="16">
        <f>SUMIF(C$2:C$11,$J3,F$2:F$11)</f>
        <v>137000</v>
      </c>
      <c r="L3" s="17">
        <f>HLOOKUP(J3,'Monthly Target'!A$1:E$2,2,FALSE)</f>
        <v>140000</v>
      </c>
      <c r="M3" s="18" t="str">
        <f t="shared" ref="M3:M5" si="2">IF(K3&gt;L3,"Target Achieved","Below Target")</f>
        <v>Below Target</v>
      </c>
    </row>
    <row r="4" spans="1:14" ht="12.75" x14ac:dyDescent="0.3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G4" s="4">
        <f t="shared" si="0"/>
        <v>3500</v>
      </c>
      <c r="H4" s="6" t="str">
        <f>VLOOKUP($D4,Product_Master!$A$1:$D$6,2,FALSE)</f>
        <v>Headphones</v>
      </c>
      <c r="I4" s="10">
        <f t="shared" si="1"/>
        <v>35000</v>
      </c>
      <c r="J4" s="14" t="s">
        <v>16</v>
      </c>
      <c r="K4" s="16">
        <f>SUMIF(C$2:C$11,$J4,F$2:F$11)</f>
        <v>121000</v>
      </c>
      <c r="L4" s="17">
        <f>HLOOKUP(J4,'Monthly Target'!A$1:E$2,2,FALSE)</f>
        <v>120000</v>
      </c>
      <c r="M4" s="18" t="str">
        <f t="shared" si="2"/>
        <v>Target Achieved</v>
      </c>
    </row>
    <row r="5" spans="1:14" ht="12.75" x14ac:dyDescent="0.3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G5" s="4">
        <f t="shared" si="0"/>
        <v>5000</v>
      </c>
      <c r="H5" s="6" t="str">
        <f>VLOOKUP($D5,Product_Master!$A$1:$D$6,2,FALSE)</f>
        <v>Printer</v>
      </c>
      <c r="I5" s="10">
        <f t="shared" si="1"/>
        <v>125000</v>
      </c>
      <c r="J5" s="14" t="s">
        <v>20</v>
      </c>
      <c r="K5" s="16">
        <f>SUMIF(C$2:C$11,$J5,F$2:F$11)</f>
        <v>215000</v>
      </c>
      <c r="L5" s="17">
        <f>HLOOKUP(J5,'Monthly Target'!A$1:E$2,2,FALSE)</f>
        <v>160000</v>
      </c>
      <c r="M5" s="18" t="str">
        <f t="shared" si="2"/>
        <v>Target Achieved</v>
      </c>
    </row>
    <row r="6" spans="1:14" ht="12.75" x14ac:dyDescent="0.3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G6" s="4">
        <f t="shared" si="0"/>
        <v>4000</v>
      </c>
      <c r="H6" s="6" t="str">
        <f>VLOOKUP($D6,Product_Master!$A$1:$D$6,2,FALSE)</f>
        <v>Monitor</v>
      </c>
      <c r="I6" s="10">
        <f t="shared" si="1"/>
        <v>48000</v>
      </c>
    </row>
    <row r="7" spans="1:14" ht="12.75" x14ac:dyDescent="0.3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G7" s="4">
        <f t="shared" si="0"/>
        <v>3000</v>
      </c>
      <c r="H7" s="6" t="str">
        <f>VLOOKUP($D7,Product_Master!$A$1:$D$6,2,FALSE)</f>
        <v>Smartphone</v>
      </c>
      <c r="I7" s="10">
        <f t="shared" si="1"/>
        <v>54000</v>
      </c>
      <c r="K7" s="11" t="s">
        <v>53</v>
      </c>
    </row>
    <row r="8" spans="1:14" ht="12.75" x14ac:dyDescent="0.3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G8" s="4">
        <f t="shared" si="0"/>
        <v>3500</v>
      </c>
      <c r="H8" s="6" t="str">
        <f>VLOOKUP($D8,Product_Master!$A$1:$D$6,2,FALSE)</f>
        <v>Headphones</v>
      </c>
      <c r="I8" s="10">
        <f t="shared" si="1"/>
        <v>77000</v>
      </c>
      <c r="K8" t="s">
        <v>9</v>
      </c>
    </row>
    <row r="9" spans="1:14" ht="12.75" x14ac:dyDescent="0.3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G9" s="4">
        <f t="shared" si="0"/>
        <v>3000</v>
      </c>
      <c r="H9" s="6" t="str">
        <f>VLOOKUP($D9,Product_Master!$A$1:$D$6,2,FALSE)</f>
        <v>Laptop</v>
      </c>
      <c r="I9" s="10">
        <f t="shared" si="1"/>
        <v>90000</v>
      </c>
      <c r="K9">
        <f>SUMIF(D2:D11,K8,E2:E11)</f>
        <v>45</v>
      </c>
    </row>
    <row r="10" spans="1:14" ht="12.75" x14ac:dyDescent="0.3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G10" s="4">
        <f t="shared" si="0"/>
        <v>5000</v>
      </c>
      <c r="H10" s="6" t="str">
        <f>VLOOKUP($D10,Product_Master!$A$1:$D$6,2,FALSE)</f>
        <v>Printer</v>
      </c>
      <c r="I10" s="10">
        <f t="shared" si="1"/>
        <v>70000</v>
      </c>
    </row>
    <row r="11" spans="1:14" ht="12.75" x14ac:dyDescent="0.3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G11" s="4">
        <f t="shared" si="0"/>
        <v>4000</v>
      </c>
      <c r="H11" s="6" t="str">
        <f>VLOOKUP($D11,Product_Master!$A$1:$D$6,2,FALSE)</f>
        <v>Monitor</v>
      </c>
      <c r="I11" s="10">
        <f t="shared" si="1"/>
        <v>32000</v>
      </c>
      <c r="K11">
        <v>10000000</v>
      </c>
    </row>
    <row r="12" spans="1:14" ht="15.75" customHeight="1" x14ac:dyDescent="0.4">
      <c r="E12" s="7" t="s">
        <v>52</v>
      </c>
      <c r="F12" s="12" t="s">
        <v>49</v>
      </c>
      <c r="I12" s="4">
        <f>SUM(I2:I11)</f>
        <v>636000</v>
      </c>
    </row>
    <row r="13" spans="1:14" ht="15.75" customHeight="1" x14ac:dyDescent="0.35">
      <c r="E13">
        <f>SUM(E2:E11)</f>
        <v>174</v>
      </c>
      <c r="F13" s="4">
        <f>SUM(F3:F12)</f>
        <v>591000</v>
      </c>
    </row>
    <row r="20" spans="3:3" ht="15.75" customHeight="1" x14ac:dyDescent="0.35">
      <c r="C20" s="2"/>
    </row>
    <row r="21" spans="3:3" ht="15.75" customHeight="1" x14ac:dyDescent="0.35">
      <c r="C21" s="2"/>
    </row>
    <row r="22" spans="3:3" ht="15.75" customHeight="1" x14ac:dyDescent="0.35">
      <c r="C22" s="2"/>
    </row>
    <row r="23" spans="3:3" ht="15.75" customHeight="1" x14ac:dyDescent="0.35">
      <c r="C23" s="2"/>
    </row>
  </sheetData>
  <conditionalFormatting sqref="J2:J5">
    <cfRule type="expression" priority="2">
      <formula>"M2 = ""Below Target"""</formula>
    </cfRule>
    <cfRule type="expression" dxfId="0" priority="1">
      <formula>"M2 = ""Below Target"""</formula>
    </cfRule>
  </conditionalFormatting>
  <dataValidations count="2">
    <dataValidation type="list" allowBlank="1" showInputMessage="1" showErrorMessage="1" sqref="K8" xr:uid="{41405038-C3E1-4F14-8DA9-F271D8DC61B7}">
      <formula1>$D$2:$D$11</formula1>
    </dataValidation>
    <dataValidation type="list" allowBlank="1" showInputMessage="1" showErrorMessage="1" sqref="C2:C11" xr:uid="{9AC52EAB-B0D8-4C4D-AA99-4C866372FC32}">
      <formula1>"North,South,East,West"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>
      <selection activeCell="B1" sqref="B1"/>
    </sheetView>
  </sheetViews>
  <sheetFormatPr defaultColWidth="12.59765625" defaultRowHeight="15.75" customHeight="1" x14ac:dyDescent="0.35"/>
  <cols>
    <col min="5" max="5" width="14.9296875" bestFit="1" customWidth="1"/>
    <col min="7" max="7" width="14.9296875" bestFit="1" customWidth="1"/>
  </cols>
  <sheetData>
    <row r="1" spans="1:4" ht="15.75" customHeight="1" x14ac:dyDescent="0.4">
      <c r="A1" s="1" t="s">
        <v>3</v>
      </c>
      <c r="B1" s="1" t="s">
        <v>35</v>
      </c>
      <c r="C1" s="1" t="s">
        <v>36</v>
      </c>
      <c r="D1" s="1" t="s">
        <v>37</v>
      </c>
    </row>
    <row r="2" spans="1:4" ht="12.75" x14ac:dyDescent="0.35">
      <c r="A2" s="2" t="s">
        <v>9</v>
      </c>
      <c r="B2" s="2" t="s">
        <v>38</v>
      </c>
      <c r="C2" s="2" t="s">
        <v>39</v>
      </c>
      <c r="D2" s="2">
        <v>3000</v>
      </c>
    </row>
    <row r="3" spans="1:4" ht="12.75" x14ac:dyDescent="0.35">
      <c r="A3" s="2" t="s">
        <v>13</v>
      </c>
      <c r="B3" s="2" t="s">
        <v>40</v>
      </c>
      <c r="C3" s="2" t="s">
        <v>39</v>
      </c>
      <c r="D3" s="2">
        <v>3000</v>
      </c>
    </row>
    <row r="4" spans="1:4" ht="12.75" x14ac:dyDescent="0.35">
      <c r="A4" s="2" t="s">
        <v>17</v>
      </c>
      <c r="B4" s="2" t="s">
        <v>41</v>
      </c>
      <c r="C4" s="2" t="s">
        <v>42</v>
      </c>
      <c r="D4" s="2">
        <v>3500</v>
      </c>
    </row>
    <row r="5" spans="1:4" ht="12.75" x14ac:dyDescent="0.35">
      <c r="A5" s="2" t="s">
        <v>21</v>
      </c>
      <c r="B5" s="2" t="s">
        <v>43</v>
      </c>
      <c r="C5" s="2" t="s">
        <v>44</v>
      </c>
      <c r="D5" s="2">
        <v>5000</v>
      </c>
    </row>
    <row r="6" spans="1:4" ht="12.75" x14ac:dyDescent="0.35">
      <c r="A6" s="2" t="s">
        <v>24</v>
      </c>
      <c r="B6" s="2" t="s">
        <v>45</v>
      </c>
      <c r="C6" s="2" t="s">
        <v>39</v>
      </c>
      <c r="D6" s="2">
        <v>4000</v>
      </c>
    </row>
    <row r="9" spans="1:4" ht="15.75" customHeight="1" x14ac:dyDescent="0.4">
      <c r="B9" s="1"/>
    </row>
    <row r="10" spans="1:4" ht="15.75" customHeight="1" x14ac:dyDescent="0.4">
      <c r="B10" s="2"/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>
      <selection activeCell="C9" sqref="C9"/>
    </sheetView>
  </sheetViews>
  <sheetFormatPr defaultColWidth="12.59765625" defaultRowHeight="15.75" customHeight="1" x14ac:dyDescent="0.35"/>
  <sheetData>
    <row r="1" spans="1:5" ht="15.75" customHeight="1" x14ac:dyDescent="0.4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5" ht="12.75" x14ac:dyDescent="0.3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Kshirsagar</dc:creator>
  <cp:lastModifiedBy>Sonal Kshirsagar</cp:lastModifiedBy>
  <dcterms:created xsi:type="dcterms:W3CDTF">2025-11-02T06:40:29Z</dcterms:created>
  <dcterms:modified xsi:type="dcterms:W3CDTF">2025-11-02T06:40:29Z</dcterms:modified>
</cp:coreProperties>
</file>